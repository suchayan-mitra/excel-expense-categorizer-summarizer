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ucha\Downloads\"/>
    </mc:Choice>
  </mc:AlternateContent>
  <xr:revisionPtr revIDLastSave="0" documentId="13_ncr:1_{C750E941-747E-451D-9D78-B7683CADD9E2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INPUT" sheetId="1" r:id="rId1"/>
    <sheet name="Summary" sheetId="19" r:id="rId2"/>
  </sheets>
  <functionGroups builtInGroupCount="19"/>
  <definedNames>
    <definedName name="_xlnm._FilterDatabase" localSheetId="0" hidden="1">INPUT!$A$1:$E$47</definedName>
  </definedNames>
  <calcPr calcId="191029"/>
  <pivotCaches>
    <pivotCache cacheId="133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7" i="1" l="1"/>
</calcChain>
</file>

<file path=xl/sharedStrings.xml><?xml version="1.0" encoding="utf-8"?>
<sst xmlns="http://schemas.openxmlformats.org/spreadsheetml/2006/main" count="118" uniqueCount="50">
  <si>
    <t>Date</t>
  </si>
  <si>
    <t>Description</t>
  </si>
  <si>
    <t>Debit</t>
  </si>
  <si>
    <t>Credit</t>
  </si>
  <si>
    <t>CENTRAL MEAT MARKET, KITCHENER</t>
  </si>
  <si>
    <t>IC* INSTACART, HALIFAX MID-H</t>
  </si>
  <si>
    <t>APPLE.COM/BILL, 866-712-7753</t>
  </si>
  <si>
    <t>DOORDASHTHEWINESHOP, DOWNTOWN TORO</t>
  </si>
  <si>
    <t>DD/DOORDASHMCDONALDS, VANCOUVER</t>
  </si>
  <si>
    <t>UBER CANADA/UBERONE, TORONTO</t>
  </si>
  <si>
    <t>OVERLIMIT FEE</t>
  </si>
  <si>
    <t>LYFT *2 RIDES 11-26, VANCOUVER</t>
  </si>
  <si>
    <t>THRIFTY CAR RENTAL, MISSISSAUGA</t>
  </si>
  <si>
    <t>METROLINX - GO TRANSIT, TORONTO</t>
  </si>
  <si>
    <t>CANADIAN TIRE GAS BAR, WATERLOO</t>
  </si>
  <si>
    <t>HASTY MARKET, KITCHENER</t>
  </si>
  <si>
    <t>UBER CANADA/UBEREATS, TORONTO</t>
  </si>
  <si>
    <t>VIRGIN PLUS (PP), TORONTO</t>
  </si>
  <si>
    <t>UBER* EATS, TORONTO</t>
  </si>
  <si>
    <t>UBER CANADA/UBERTRIP, TORONTO</t>
  </si>
  <si>
    <t>DOORDASH DASHPASS, SAN FRANCISCO, CA</t>
  </si>
  <si>
    <t>DD/DOORDASHSAHARSKITCH, VANCOUVER</t>
  </si>
  <si>
    <t>ESSO CIRCLE K, SCARBOROUGH</t>
  </si>
  <si>
    <t>NEW MIRCHI DHABA, SCARBOROUGH</t>
  </si>
  <si>
    <t>Category</t>
  </si>
  <si>
    <t>Coffee</t>
  </si>
  <si>
    <t>Grocery</t>
  </si>
  <si>
    <t>Housing - Rental</t>
  </si>
  <si>
    <t>Electronics</t>
  </si>
  <si>
    <t>Online Order - Food</t>
  </si>
  <si>
    <t>Fee and Charges</t>
  </si>
  <si>
    <t>Car Rental - Taxi</t>
  </si>
  <si>
    <t>Restaurant</t>
  </si>
  <si>
    <t>Gas</t>
  </si>
  <si>
    <t>Transport</t>
  </si>
  <si>
    <t>Uncategorized</t>
  </si>
  <si>
    <t>Row Labels</t>
  </si>
  <si>
    <t>Grand Total</t>
  </si>
  <si>
    <t>Column Labels</t>
  </si>
  <si>
    <t>Sum of Debit</t>
  </si>
  <si>
    <t>2023</t>
  </si>
  <si>
    <t>2023 Total</t>
  </si>
  <si>
    <t>Sep</t>
  </si>
  <si>
    <t>Oct</t>
  </si>
  <si>
    <t>Nov</t>
  </si>
  <si>
    <t>Dec</t>
  </si>
  <si>
    <t>Car Rental</t>
  </si>
  <si>
    <t>AIRBNB, AIRBNB.COM</t>
  </si>
  <si>
    <t>TIM HORTONS, KITCHENER</t>
  </si>
  <si>
    <t>WAL-MART, SCARBOROUGH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</si>
</sst>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;[Red]\-&quot;$&quot;#,##0.00"/>
  </numFmts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1F1F1F"/>
      <name val="Arial"/>
      <family val="2"/>
    </font>
    <font>
      <sz val="8"/>
      <color rgb="FF444444"/>
      <name val="Arial"/>
      <family val="2"/>
    </font>
    <font>
      <b/>
      <sz val="8"/>
      <color rgb="FF1F1F1F"/>
      <name val="Inherit"/>
    </font>
    <font>
      <b/>
      <sz val="8"/>
      <color rgb="FF1F1F1F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rgb="FFE0E0E0"/>
      </bottom>
      <diagonal/>
    </border>
    <border>
      <left/>
      <right/>
      <top style="medium">
        <color rgb="FFE0E0E0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15" fontId="3" fillId="2" borderId="1" xfId="0" applyNumberFormat="1" applyFont="1" applyFill="1" applyBorder="1" applyAlignment="1">
      <alignment horizontal="left" vertical="top" wrapText="1" indent="1"/>
    </xf>
    <xf numFmtId="0" fontId="3" fillId="2" borderId="1" xfId="0" applyFont="1" applyFill="1" applyBorder="1" applyAlignment="1">
      <alignment horizontal="left" vertical="center" wrapText="1" indent="1"/>
    </xf>
    <xf numFmtId="8" fontId="2" fillId="2" borderId="1" xfId="0" applyNumberFormat="1" applyFont="1" applyFill="1" applyBorder="1" applyAlignment="1">
      <alignment horizontal="right" vertical="top"/>
    </xf>
    <xf numFmtId="0" fontId="3" fillId="2" borderId="1" xfId="0" applyFont="1" applyFill="1" applyBorder="1" applyAlignment="1">
      <alignment horizontal="left" vertical="top" wrapText="1"/>
    </xf>
    <xf numFmtId="0" fontId="3" fillId="2" borderId="0" xfId="0" applyFont="1" applyFill="1" applyAlignment="1">
      <alignment horizontal="left" vertical="center" wrapText="1" indent="1"/>
    </xf>
    <xf numFmtId="0" fontId="4" fillId="2" borderId="0" xfId="0" applyFont="1" applyFill="1" applyAlignment="1">
      <alignment horizontal="left" vertical="center" wrapText="1" indent="1"/>
    </xf>
    <xf numFmtId="0" fontId="5" fillId="2" borderId="0" xfId="0" applyFont="1" applyFill="1" applyAlignment="1">
      <alignment horizontal="left" vertical="center" wrapText="1" indent="1"/>
    </xf>
    <xf numFmtId="0" fontId="5" fillId="2" borderId="0" xfId="0" applyFont="1" applyFill="1" applyAlignment="1">
      <alignment horizontal="right" vertical="center" wrapText="1" indent="1"/>
    </xf>
    <xf numFmtId="8" fontId="2" fillId="2" borderId="2" xfId="0" applyNumberFormat="1" applyFont="1" applyFill="1" applyBorder="1" applyAlignment="1">
      <alignment horizontal="right" vertical="top"/>
    </xf>
    <xf numFmtId="0" fontId="3" fillId="2" borderId="2" xfId="0" applyFont="1" applyFill="1" applyBorder="1" applyAlignment="1">
      <alignment horizontal="left" vertical="top" wrapText="1"/>
    </xf>
    <xf numFmtId="15" fontId="3" fillId="2" borderId="2" xfId="0" applyNumberFormat="1" applyFont="1" applyFill="1" applyBorder="1" applyAlignment="1">
      <alignment horizontal="left" vertical="top" wrapText="1" indent="1"/>
    </xf>
    <xf numFmtId="8" fontId="1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[Bank-Statement-Export.xlsm]Summary!ExpenseSummary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CA"/>
              <a:t>Monthly Expenses by Category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Summary!$B$1:$B$3</c:f>
              <c:strCache>
                <c:ptCount val="1"/>
                <c:pt idx="0">
                  <c:v>2023 - Sep</c:v>
                </c:pt>
              </c:strCache>
            </c:strRef>
          </c:tx>
          <c:invertIfNegative val="0"/>
          <c:cat>
            <c:strRef>
              <c:f>Summary!$A$4:$A$16</c:f>
              <c:strCache>
                <c:ptCount val="12"/>
                <c:pt idx="0">
                  <c:v>Housing - Rental</c:v>
                </c:pt>
                <c:pt idx="1">
                  <c:v>Car Rental</c:v>
                </c:pt>
                <c:pt idx="2">
                  <c:v>Grocery</c:v>
                </c:pt>
                <c:pt idx="3">
                  <c:v>Car Rental - Taxi</c:v>
                </c:pt>
                <c:pt idx="4">
                  <c:v>Uncategorized</c:v>
                </c:pt>
                <c:pt idx="5">
                  <c:v>Online Order - Food</c:v>
                </c:pt>
                <c:pt idx="6">
                  <c:v>Gas</c:v>
                </c:pt>
                <c:pt idx="7">
                  <c:v>Coffee</c:v>
                </c:pt>
                <c:pt idx="8">
                  <c:v>Fee and Charges</c:v>
                </c:pt>
                <c:pt idx="9">
                  <c:v>Restaurant</c:v>
                </c:pt>
                <c:pt idx="10">
                  <c:v>Transport</c:v>
                </c:pt>
                <c:pt idx="11">
                  <c:v>Electronics</c:v>
                </c:pt>
              </c:strCache>
            </c:strRef>
          </c:cat>
          <c:val>
            <c:numRef>
              <c:f>Summary!$B$4:$B$16</c:f>
              <c:numCache>
                <c:formatCode>General</c:formatCode>
                <c:ptCount val="12"/>
                <c:pt idx="2">
                  <c:v>10.28</c:v>
                </c:pt>
                <c:pt idx="6">
                  <c:v>46.01</c:v>
                </c:pt>
                <c:pt idx="7">
                  <c:v>8.42</c:v>
                </c:pt>
                <c:pt idx="9">
                  <c:v>23.740000000000002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C4-42B9-9F1B-04B2962FAC8A}"/>
            </c:ext>
          </c:extLst>
        </c:ser>
        <c:ser>
          <c:idx val="1"/>
          <c:order val="1"/>
          <c:tx>
            <c:strRef>
              <c:f>Summary!$C$1:$C$3</c:f>
              <c:strCache>
                <c:ptCount val="1"/>
                <c:pt idx="0">
                  <c:v>2023 - Oct</c:v>
                </c:pt>
              </c:strCache>
            </c:strRef>
          </c:tx>
          <c:invertIfNegative val="0"/>
          <c:cat>
            <c:strRef>
              <c:f>Summary!$A$4:$A$16</c:f>
              <c:strCache>
                <c:ptCount val="12"/>
                <c:pt idx="0">
                  <c:v>Housing - Rental</c:v>
                </c:pt>
                <c:pt idx="1">
                  <c:v>Car Rental</c:v>
                </c:pt>
                <c:pt idx="2">
                  <c:v>Grocery</c:v>
                </c:pt>
                <c:pt idx="3">
                  <c:v>Car Rental - Taxi</c:v>
                </c:pt>
                <c:pt idx="4">
                  <c:v>Uncategorized</c:v>
                </c:pt>
                <c:pt idx="5">
                  <c:v>Online Order - Food</c:v>
                </c:pt>
                <c:pt idx="6">
                  <c:v>Gas</c:v>
                </c:pt>
                <c:pt idx="7">
                  <c:v>Coffee</c:v>
                </c:pt>
                <c:pt idx="8">
                  <c:v>Fee and Charges</c:v>
                </c:pt>
                <c:pt idx="9">
                  <c:v>Restaurant</c:v>
                </c:pt>
                <c:pt idx="10">
                  <c:v>Transport</c:v>
                </c:pt>
                <c:pt idx="11">
                  <c:v>Electronics</c:v>
                </c:pt>
              </c:strCache>
            </c:strRef>
          </c:cat>
          <c:val>
            <c:numRef>
              <c:f>Summary!$C$4:$C$16</c:f>
              <c:numCache>
                <c:formatCode>General</c:formatCode>
                <c:ptCount val="12"/>
                <c:pt idx="4">
                  <c:v>16.95</c:v>
                </c:pt>
                <c:pt idx="5">
                  <c:v>28.74</c:v>
                </c:pt>
                <c:pt idx="7">
                  <c:v>1.92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C4-42B9-9F1B-04B2962FAC8A}"/>
            </c:ext>
          </c:extLst>
        </c:ser>
        <c:ser>
          <c:idx val="2"/>
          <c:order val="2"/>
          <c:tx>
            <c:strRef>
              <c:f>Summary!$D$1:$D$3</c:f>
              <c:strCache>
                <c:ptCount val="1"/>
                <c:pt idx="0">
                  <c:v>2023 - Nov</c:v>
                </c:pt>
              </c:strCache>
            </c:strRef>
          </c:tx>
          <c:invertIfNegative val="0"/>
          <c:cat>
            <c:strRef>
              <c:f>Summary!$A$4:$A$16</c:f>
              <c:strCache>
                <c:ptCount val="12"/>
                <c:pt idx="0">
                  <c:v>Housing - Rental</c:v>
                </c:pt>
                <c:pt idx="1">
                  <c:v>Car Rental</c:v>
                </c:pt>
                <c:pt idx="2">
                  <c:v>Grocery</c:v>
                </c:pt>
                <c:pt idx="3">
                  <c:v>Car Rental - Taxi</c:v>
                </c:pt>
                <c:pt idx="4">
                  <c:v>Uncategorized</c:v>
                </c:pt>
                <c:pt idx="5">
                  <c:v>Online Order - Food</c:v>
                </c:pt>
                <c:pt idx="6">
                  <c:v>Gas</c:v>
                </c:pt>
                <c:pt idx="7">
                  <c:v>Coffee</c:v>
                </c:pt>
                <c:pt idx="8">
                  <c:v>Fee and Charges</c:v>
                </c:pt>
                <c:pt idx="9">
                  <c:v>Restaurant</c:v>
                </c:pt>
                <c:pt idx="10">
                  <c:v>Transport</c:v>
                </c:pt>
                <c:pt idx="11">
                  <c:v>Electronics</c:v>
                </c:pt>
              </c:strCache>
            </c:strRef>
          </c:cat>
          <c:val>
            <c:numRef>
              <c:f>Summary!$D$4:$D$16</c:f>
              <c:numCache>
                <c:formatCode>General</c:formatCode>
                <c:ptCount val="12"/>
                <c:pt idx="0">
                  <c:v>5500</c:v>
                </c:pt>
                <c:pt idx="1">
                  <c:v>1472.83</c:v>
                </c:pt>
                <c:pt idx="2">
                  <c:v>364.41</c:v>
                </c:pt>
                <c:pt idx="3">
                  <c:v>101.52999999999999</c:v>
                </c:pt>
                <c:pt idx="4">
                  <c:v>50.849999999999994</c:v>
                </c:pt>
                <c:pt idx="7">
                  <c:v>17.46</c:v>
                </c:pt>
                <c:pt idx="8">
                  <c:v>29</c:v>
                </c:pt>
                <c:pt idx="1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C4-42B9-9F1B-04B2962FAC8A}"/>
            </c:ext>
          </c:extLst>
        </c:ser>
        <c:ser>
          <c:idx val="3"/>
          <c:order val="3"/>
          <c:tx>
            <c:strRef>
              <c:f>Summary!$E$1:$E$3</c:f>
              <c:strCache>
                <c:ptCount val="1"/>
                <c:pt idx="0">
                  <c:v>2023 - Dec</c:v>
                </c:pt>
              </c:strCache>
            </c:strRef>
          </c:tx>
          <c:invertIfNegative val="0"/>
          <c:cat>
            <c:strRef>
              <c:f>Summary!$A$4:$A$16</c:f>
              <c:strCache>
                <c:ptCount val="12"/>
                <c:pt idx="0">
                  <c:v>Housing - Rental</c:v>
                </c:pt>
                <c:pt idx="1">
                  <c:v>Car Rental</c:v>
                </c:pt>
                <c:pt idx="2">
                  <c:v>Grocery</c:v>
                </c:pt>
                <c:pt idx="3">
                  <c:v>Car Rental - Taxi</c:v>
                </c:pt>
                <c:pt idx="4">
                  <c:v>Uncategorized</c:v>
                </c:pt>
                <c:pt idx="5">
                  <c:v>Online Order - Food</c:v>
                </c:pt>
                <c:pt idx="6">
                  <c:v>Gas</c:v>
                </c:pt>
                <c:pt idx="7">
                  <c:v>Coffee</c:v>
                </c:pt>
                <c:pt idx="8">
                  <c:v>Fee and Charges</c:v>
                </c:pt>
                <c:pt idx="9">
                  <c:v>Restaurant</c:v>
                </c:pt>
                <c:pt idx="10">
                  <c:v>Transport</c:v>
                </c:pt>
                <c:pt idx="11">
                  <c:v>Electronics</c:v>
                </c:pt>
              </c:strCache>
            </c:strRef>
          </c:cat>
          <c:val>
            <c:numRef>
              <c:f>Summary!$E$4:$E$16</c:f>
              <c:numCache>
                <c:formatCode>General</c:formatCode>
                <c:ptCount val="12"/>
                <c:pt idx="0">
                  <c:v>2000</c:v>
                </c:pt>
                <c:pt idx="2">
                  <c:v>18.21</c:v>
                </c:pt>
                <c:pt idx="3">
                  <c:v>11.29</c:v>
                </c:pt>
                <c:pt idx="5">
                  <c:v>24.77</c:v>
                </c:pt>
                <c:pt idx="7">
                  <c:v>4.34</c:v>
                </c:pt>
                <c:pt idx="11">
                  <c:v>1.46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C4-42B9-9F1B-04B2962FAC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5769032"/>
        <c:axId val="735770832"/>
      </c:barChart>
      <c:catAx>
        <c:axId val="7357690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Category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35770832"/>
        <c:crosses val="autoZero"/>
        <c:auto val="1"/>
        <c:lblAlgn val="ctr"/>
        <c:lblOffset val="100"/>
        <c:noMultiLvlLbl val="0"/>
      </c:catAx>
      <c:valAx>
        <c:axId val="7357708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Total Expenses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357690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539750</xdr:colOff>
      <xdr:row>1</xdr:row>
      <xdr:rowOff>177800</xdr:rowOff>
    </xdr:from>
    <xdr:to>
      <xdr:col>19</xdr:col>
      <xdr:colOff>311150</xdr:colOff>
      <xdr:row>22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96862A9-4AA3-0C5A-FD16-188021F842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uchayan Mitra" refreshedDate="45292.085465972224" createdVersion="3" refreshedVersion="8" minRefreshableVersion="3" recordCount="45" xr:uid="{E5B1C15F-DF62-41FE-A799-6687945670AC}">
  <cacheSource type="worksheet">
    <worksheetSource ref="A1:E46" sheet="INPUT"/>
  </cacheSource>
  <cacheFields count="7">
    <cacheField name="Date" numFmtId="15">
      <sharedItems containsSemiMixedTypes="0" containsNonDate="0" containsDate="1" containsString="0" minDate="2023-09-11T00:00:00" maxDate="2023-12-28T00:00:00" count="25">
        <d v="2023-12-27T00:00:00"/>
        <d v="2023-12-21T00:00:00"/>
        <d v="2023-12-17T00:00:00"/>
        <d v="2023-12-16T00:00:00"/>
        <d v="2023-12-09T00:00:00"/>
        <d v="2023-12-02T00:00:00"/>
        <d v="2023-11-30T00:00:00"/>
        <d v="2023-11-27T00:00:00"/>
        <d v="2023-11-26T00:00:00"/>
        <d v="2023-11-23T00:00:00"/>
        <d v="2023-11-20T00:00:00"/>
        <d v="2023-11-15T00:00:00"/>
        <d v="2023-11-13T00:00:00"/>
        <d v="2023-11-09T00:00:00"/>
        <d v="2023-11-08T00:00:00"/>
        <d v="2023-11-05T00:00:00"/>
        <d v="2023-11-04T00:00:00"/>
        <d v="2023-11-03T00:00:00"/>
        <d v="2023-11-02T00:00:00"/>
        <d v="2023-11-01T00:00:00"/>
        <d v="2023-10-31T00:00:00"/>
        <d v="2023-10-29T00:00:00"/>
        <d v="2023-09-13T00:00:00"/>
        <d v="2023-09-12T00:00:00"/>
        <d v="2023-09-11T00:00:00"/>
      </sharedItems>
      <fieldGroup par="6"/>
    </cacheField>
    <cacheField name="Description" numFmtId="0">
      <sharedItems/>
    </cacheField>
    <cacheField name="Debit" numFmtId="8">
      <sharedItems containsSemiMixedTypes="0" containsString="0" containsNumber="1" minValue="1.46" maxValue="4000"/>
    </cacheField>
    <cacheField name="Credit" numFmtId="0">
      <sharedItems containsNonDate="0" containsString="0" containsBlank="1"/>
    </cacheField>
    <cacheField name="Category" numFmtId="8">
      <sharedItems count="12">
        <s v="Grocery"/>
        <s v="Electronics"/>
        <s v="Coffee"/>
        <s v="Online Order - Food"/>
        <s v="Housing - Rental"/>
        <s v="Car Rental - Taxi"/>
        <s v="Fee and Charges"/>
        <s v="Car Rental"/>
        <s v="Transport"/>
        <s v="Uncategorized"/>
        <s v="Gas"/>
        <s v="Restaurant"/>
      </sharedItems>
    </cacheField>
    <cacheField name="Months (Date)" numFmtId="0" databaseField="0">
      <fieldGroup base="0">
        <rangePr groupBy="months" startDate="2023-09-11T00:00:00" endDate="2023-12-28T00:00:00"/>
        <groupItems count="14">
          <s v="&lt;2023-09-1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023-12-28"/>
        </groupItems>
      </fieldGroup>
    </cacheField>
    <cacheField name="Years (Date)" numFmtId="0" databaseField="0">
      <fieldGroup base="0">
        <rangePr groupBy="years" startDate="2023-09-11T00:00:00" endDate="2023-12-28T00:00:00"/>
        <groupItems count="3">
          <s v="&lt;2023-09-11"/>
          <s v="2023"/>
          <s v="&gt;2023-12-2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">
  <r>
    <x v="0"/>
    <s v="CENTRAL MEAT MARKET, KITCHENER"/>
    <n v="18.21"/>
    <m/>
    <x v="0"/>
  </r>
  <r>
    <x v="1"/>
    <s v="APPLE.COM/BILL, 866-712-7753"/>
    <n v="1.46"/>
    <m/>
    <x v="1"/>
  </r>
  <r>
    <x v="2"/>
    <s v="TIM HORTONS, KITCHENER"/>
    <n v="2.17"/>
    <m/>
    <x v="2"/>
  </r>
  <r>
    <x v="2"/>
    <s v="DOORDASHTHEWINESHOP, DOWNTOWN TORO"/>
    <n v="19.899999999999999"/>
    <m/>
    <x v="3"/>
  </r>
  <r>
    <x v="3"/>
    <s v="TIM HORTONS, KITCHENER"/>
    <n v="2.17"/>
    <m/>
    <x v="2"/>
  </r>
  <r>
    <x v="4"/>
    <s v="DD/DOORDASHMCDONALDS, VANCOUVER"/>
    <n v="4.87"/>
    <m/>
    <x v="3"/>
  </r>
  <r>
    <x v="5"/>
    <s v="AIRBNB, AIRBNB.COM"/>
    <n v="2000"/>
    <m/>
    <x v="4"/>
  </r>
  <r>
    <x v="5"/>
    <s v="UBER CANADA/UBERONE, TORONTO"/>
    <n v="11.29"/>
    <m/>
    <x v="5"/>
  </r>
  <r>
    <x v="6"/>
    <s v="OVERLIMIT FEE"/>
    <n v="29"/>
    <m/>
    <x v="6"/>
  </r>
  <r>
    <x v="7"/>
    <s v="LYFT *2 RIDES 11-26, VANCOUVER"/>
    <n v="33.799999999999997"/>
    <m/>
    <x v="5"/>
  </r>
  <r>
    <x v="8"/>
    <s v="THRIFTY CAR RENTAL, MISSISSAUGA"/>
    <n v="1472.83"/>
    <m/>
    <x v="7"/>
  </r>
  <r>
    <x v="8"/>
    <s v="METROLINX - GO TRANSIT, TORONTO"/>
    <n v="10"/>
    <m/>
    <x v="8"/>
  </r>
  <r>
    <x v="9"/>
    <s v="CENTRAL MEAT MARKET, KITCHENER"/>
    <n v="35.130000000000003"/>
    <m/>
    <x v="0"/>
  </r>
  <r>
    <x v="10"/>
    <s v="IC* INSTACART, HALIFAX MID-H"/>
    <n v="19.39"/>
    <m/>
    <x v="0"/>
  </r>
  <r>
    <x v="11"/>
    <s v="IC* INSTACART, HALIFAX MID-H"/>
    <n v="58.46"/>
    <m/>
    <x v="0"/>
  </r>
  <r>
    <x v="12"/>
    <s v="IC* INSTACART, HALIFAX MID-H"/>
    <n v="54"/>
    <m/>
    <x v="0"/>
  </r>
  <r>
    <x v="12"/>
    <s v="AIRBNB, AIRBNB.COM"/>
    <n v="4000"/>
    <m/>
    <x v="4"/>
  </r>
  <r>
    <x v="13"/>
    <s v="CANADIAN TIRE GAS BAR, WATERLOO"/>
    <n v="54.91"/>
    <m/>
    <x v="0"/>
  </r>
  <r>
    <x v="14"/>
    <s v="IC* INSTACART, HALIFAX MID-H"/>
    <n v="69.72"/>
    <m/>
    <x v="0"/>
  </r>
  <r>
    <x v="14"/>
    <s v="IC* INSTACART, HALIFAX MID-H"/>
    <n v="34.549999999999997"/>
    <m/>
    <x v="0"/>
  </r>
  <r>
    <x v="15"/>
    <s v="HASTY MARKET, KITCHENER"/>
    <n v="38.25"/>
    <m/>
    <x v="0"/>
  </r>
  <r>
    <x v="16"/>
    <s v="TIM HORTONS, KITCHENER"/>
    <n v="6.79"/>
    <m/>
    <x v="2"/>
  </r>
  <r>
    <x v="17"/>
    <s v="TIM HORTONS, KITCHENER"/>
    <n v="1.92"/>
    <m/>
    <x v="2"/>
  </r>
  <r>
    <x v="17"/>
    <s v="AIRBNB, AIRBNB.COM"/>
    <n v="1500"/>
    <m/>
    <x v="4"/>
  </r>
  <r>
    <x v="17"/>
    <s v="UBER CANADA/UBEREATS, TORONTO"/>
    <n v="28.91"/>
    <m/>
    <x v="5"/>
  </r>
  <r>
    <x v="17"/>
    <s v="VIRGIN PLUS (PP), TORONTO"/>
    <n v="16.95"/>
    <m/>
    <x v="9"/>
  </r>
  <r>
    <x v="17"/>
    <s v="UBER* EATS, TORONTO"/>
    <n v="1.5"/>
    <m/>
    <x v="5"/>
  </r>
  <r>
    <x v="18"/>
    <s v="UBER CANADA/UBERTRIP, TORONTO"/>
    <n v="8.9600000000000009"/>
    <m/>
    <x v="5"/>
  </r>
  <r>
    <x v="18"/>
    <s v="UBER* EATS, TORONTO"/>
    <n v="1.5"/>
    <m/>
    <x v="5"/>
  </r>
  <r>
    <x v="18"/>
    <s v="UBER CANADA/UBEREATS, TORONTO"/>
    <n v="26.86"/>
    <m/>
    <x v="5"/>
  </r>
  <r>
    <x v="19"/>
    <s v="TIM HORTONS, KITCHENER"/>
    <n v="6.83"/>
    <m/>
    <x v="2"/>
  </r>
  <r>
    <x v="19"/>
    <s v="TIM HORTONS, KITCHENER"/>
    <n v="1.92"/>
    <m/>
    <x v="2"/>
  </r>
  <r>
    <x v="19"/>
    <s v="VIRGIN PLUS (PP), TORONTO"/>
    <n v="16.95"/>
    <m/>
    <x v="9"/>
  </r>
  <r>
    <x v="19"/>
    <s v="VIRGIN PLUS (PP), TORONTO"/>
    <n v="16.95"/>
    <m/>
    <x v="9"/>
  </r>
  <r>
    <x v="20"/>
    <s v="TIM HORTONS, KITCHENER"/>
    <n v="1.92"/>
    <m/>
    <x v="2"/>
  </r>
  <r>
    <x v="20"/>
    <s v="VIRGIN PLUS (PP), TORONTO"/>
    <n v="16.95"/>
    <m/>
    <x v="9"/>
  </r>
  <r>
    <x v="21"/>
    <s v="DD/DOORDASHSAHARSKITCH, VANCOUVER"/>
    <n v="21.65"/>
    <m/>
    <x v="3"/>
  </r>
  <r>
    <x v="21"/>
    <s v="DOORDASH DASHPASS, SAN FRANCISCO, CA"/>
    <n v="7.09"/>
    <m/>
    <x v="3"/>
  </r>
  <r>
    <x v="22"/>
    <s v="ESSO CIRCLE K, SCARBOROUGH"/>
    <n v="46.01"/>
    <m/>
    <x v="10"/>
  </r>
  <r>
    <x v="23"/>
    <s v="TIM HORTONS, KITCHENER"/>
    <n v="1.92"/>
    <m/>
    <x v="2"/>
  </r>
  <r>
    <x v="23"/>
    <s v="TIM HORTONS, KITCHENER"/>
    <n v="4.58"/>
    <m/>
    <x v="2"/>
  </r>
  <r>
    <x v="23"/>
    <s v="NEW MIRCHI DHABA, SCARBOROUGH"/>
    <n v="10.74"/>
    <m/>
    <x v="11"/>
  </r>
  <r>
    <x v="24"/>
    <s v="TIM HORTONS, KITCHENER"/>
    <n v="1.92"/>
    <m/>
    <x v="2"/>
  </r>
  <r>
    <x v="24"/>
    <s v="WAL-MART, SCARBOROUGH"/>
    <n v="10.28"/>
    <m/>
    <x v="0"/>
  </r>
  <r>
    <x v="24"/>
    <s v="NEW MIRCHI DHABA, SCARBOROUGH"/>
    <n v="13"/>
    <m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1AF00F-62D2-4134-BEC5-4F8C186A12C5}" name="ExpenseSummary" cacheId="133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 chartFormat="1">
  <location ref="A1:G16" firstHeaderRow="1" firstDataRow="3" firstDataCol="1"/>
  <pivotFields count="7">
    <pivotField numFmtId="15" showAll="0">
      <items count="26"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dataField="1" numFmtId="8" showAll="0"/>
    <pivotField showAll="0"/>
    <pivotField axis="axisRow" showAll="0" sortType="descending">
      <items count="13">
        <item x="7"/>
        <item x="5"/>
        <item x="2"/>
        <item x="1"/>
        <item x="6"/>
        <item x="10"/>
        <item x="0"/>
        <item x="4"/>
        <item x="3"/>
        <item x="11"/>
        <item x="8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showAll="0">
      <items count="4">
        <item x="0"/>
        <item x="1"/>
        <item x="2"/>
        <item t="default"/>
      </items>
    </pivotField>
  </pivotFields>
  <rowFields count="1">
    <field x="4"/>
  </rowFields>
  <rowItems count="13">
    <i>
      <x v="7"/>
    </i>
    <i>
      <x/>
    </i>
    <i>
      <x v="6"/>
    </i>
    <i>
      <x v="1"/>
    </i>
    <i>
      <x v="11"/>
    </i>
    <i>
      <x v="8"/>
    </i>
    <i>
      <x v="5"/>
    </i>
    <i>
      <x v="2"/>
    </i>
    <i>
      <x v="4"/>
    </i>
    <i>
      <x v="9"/>
    </i>
    <i>
      <x v="10"/>
    </i>
    <i>
      <x v="3"/>
    </i>
    <i t="grand">
      <x/>
    </i>
  </rowItems>
  <colFields count="2">
    <field x="6"/>
    <field x="5"/>
  </colFields>
  <colItems count="6">
    <i>
      <x v="1"/>
      <x v="9"/>
    </i>
    <i r="1">
      <x v="10"/>
    </i>
    <i r="1">
      <x v="11"/>
    </i>
    <i r="1">
      <x v="12"/>
    </i>
    <i t="default">
      <x v="1"/>
    </i>
    <i t="grand">
      <x/>
    </i>
  </colItems>
  <dataFields count="1">
    <dataField name="Sum of Debit" fld="2" baseField="0" baseItem="0"/>
  </dataFields>
  <chartFormats count="4">
    <chartFormat chart="0" format="0" series="1">
      <pivotArea type="data" outline="0" fieldPosition="0">
        <references count="3">
          <reference field="4294967294" count="1" selected="0">
            <x v="0"/>
          </reference>
          <reference field="5" count="1" selected="0">
            <x v="9"/>
          </reference>
          <reference field="6" count="1" selected="0">
            <x v="1"/>
          </reference>
        </references>
      </pivotArea>
    </chartFormat>
    <chartFormat chart="0" format="1" series="1">
      <pivotArea type="data" outline="0" fieldPosition="0">
        <references count="3">
          <reference field="4294967294" count="1" selected="0">
            <x v="0"/>
          </reference>
          <reference field="5" count="1" selected="0">
            <x v="1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1"/>
          </reference>
        </references>
      </pivotArea>
    </chartFormat>
    <chartFormat chart="0" format="3" series="1">
      <pivotArea type="data" outline="0" fieldPosition="0">
        <references count="3">
          <reference field="4294967294" count="1" selected="0">
            <x v="0"/>
          </reference>
          <reference field="5" count="1" selected="0">
            <x v="12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47"/>
  <sheetViews>
    <sheetView topLeftCell="A28" workbookViewId="0">
      <selection activeCell="B1" sqref="B1"/>
    </sheetView>
  </sheetViews>
  <sheetFormatPr defaultRowHeight="14.5"/>
  <cols>
    <col min="1" max="1" width="9" bestFit="1" customWidth="1"/>
    <col min="2" max="2" width="41.26953125" customWidth="1"/>
    <col min="3" max="3" width="13" customWidth="1"/>
    <col min="4" max="4" width="9.08984375" bestFit="1" customWidth="1"/>
    <col min="5" max="5" width="20.7265625" customWidth="1"/>
  </cols>
  <sheetData>
    <row r="1" spans="1:5">
      <c r="A1" s="6" t="s">
        <v>0</v>
      </c>
      <c r="B1" s="7" t="s">
        <v>1</v>
      </c>
      <c r="C1" s="8" t="s">
        <v>2</v>
      </c>
      <c r="D1" s="8" t="s">
        <v>3</v>
      </c>
      <c r="E1" s="8" t="s">
        <v>24</v>
      </c>
    </row>
    <row r="2" spans="1:5" ht="15" thickBot="1">
      <c r="A2" s="1">
        <v>45287</v>
      </c>
      <c r="B2" s="2" t="s">
        <v>4</v>
      </c>
      <c r="C2" s="3">
        <v>18.21</v>
      </c>
      <c r="D2" s="4"/>
      <c r="E2" s="3" t="s">
        <v>26</v>
      </c>
    </row>
    <row r="3" spans="1:5" ht="15" thickBot="1">
      <c r="A3" s="1">
        <v>45281</v>
      </c>
      <c r="B3" s="2" t="s">
        <v>6</v>
      </c>
      <c r="C3" s="3">
        <v>1.46</v>
      </c>
      <c r="D3" s="4"/>
      <c r="E3" s="3" t="s">
        <v>28</v>
      </c>
    </row>
    <row r="4" spans="1:5" ht="15" thickBot="1">
      <c r="A4" s="1">
        <v>45277</v>
      </c>
      <c r="B4" s="2" t="s">
        <v>48</v>
      </c>
      <c r="C4" s="3">
        <v>2.17</v>
      </c>
      <c r="D4" s="4"/>
      <c r="E4" s="3" t="s">
        <v>25</v>
      </c>
    </row>
    <row r="5" spans="1:5" ht="15" thickBot="1">
      <c r="A5" s="1">
        <v>45277</v>
      </c>
      <c r="B5" s="2" t="s">
        <v>7</v>
      </c>
      <c r="C5" s="3">
        <v>19.899999999999999</v>
      </c>
      <c r="D5" s="4"/>
      <c r="E5" s="3" t="s">
        <v>29</v>
      </c>
    </row>
    <row r="6" spans="1:5" ht="15" thickBot="1">
      <c r="A6" s="1">
        <v>45276</v>
      </c>
      <c r="B6" s="2" t="s">
        <v>48</v>
      </c>
      <c r="C6" s="3">
        <v>2.17</v>
      </c>
      <c r="D6" s="4"/>
      <c r="E6" s="3" t="s">
        <v>25</v>
      </c>
    </row>
    <row r="7" spans="1:5" ht="15" thickBot="1">
      <c r="A7" s="1">
        <v>45269</v>
      </c>
      <c r="B7" s="2" t="s">
        <v>8</v>
      </c>
      <c r="C7" s="3">
        <v>4.87</v>
      </c>
      <c r="D7" s="4"/>
      <c r="E7" s="3" t="s">
        <v>29</v>
      </c>
    </row>
    <row r="8" spans="1:5" ht="15" thickBot="1">
      <c r="A8" s="1">
        <v>45262</v>
      </c>
      <c r="B8" s="2" t="s">
        <v>47</v>
      </c>
      <c r="C8" s="3">
        <v>2000</v>
      </c>
      <c r="D8" s="4"/>
      <c r="E8" s="3" t="s">
        <v>27</v>
      </c>
    </row>
    <row r="9" spans="1:5" ht="15" thickBot="1">
      <c r="A9" s="1">
        <v>45262</v>
      </c>
      <c r="B9" s="2" t="s">
        <v>9</v>
      </c>
      <c r="C9" s="3">
        <v>11.29</v>
      </c>
      <c r="D9" s="4"/>
      <c r="E9" s="3" t="s">
        <v>31</v>
      </c>
    </row>
    <row r="10" spans="1:5" ht="15" thickBot="1">
      <c r="A10" s="1">
        <v>45260</v>
      </c>
      <c r="B10" s="2" t="s">
        <v>10</v>
      </c>
      <c r="C10" s="3">
        <v>29</v>
      </c>
      <c r="D10" s="4"/>
      <c r="E10" s="3" t="s">
        <v>30</v>
      </c>
    </row>
    <row r="11" spans="1:5" ht="15" thickBot="1">
      <c r="A11" s="1">
        <v>45257</v>
      </c>
      <c r="B11" s="2" t="s">
        <v>11</v>
      </c>
      <c r="C11" s="3">
        <v>33.799999999999997</v>
      </c>
      <c r="D11" s="4"/>
      <c r="E11" s="3" t="s">
        <v>31</v>
      </c>
    </row>
    <row r="12" spans="1:5" ht="15" thickBot="1">
      <c r="A12" s="1">
        <v>45256</v>
      </c>
      <c r="B12" s="2" t="s">
        <v>12</v>
      </c>
      <c r="C12" s="3">
        <v>1472.83</v>
      </c>
      <c r="D12" s="4"/>
      <c r="E12" s="3" t="s">
        <v>46</v>
      </c>
    </row>
    <row r="13" spans="1:5" ht="15" thickBot="1">
      <c r="A13" s="1">
        <v>45256</v>
      </c>
      <c r="B13" s="2" t="s">
        <v>13</v>
      </c>
      <c r="C13" s="3">
        <v>10</v>
      </c>
      <c r="D13" s="4"/>
      <c r="E13" s="3" t="s">
        <v>34</v>
      </c>
    </row>
    <row r="14" spans="1:5" ht="15" thickBot="1">
      <c r="A14" s="1">
        <v>45253</v>
      </c>
      <c r="B14" s="2" t="s">
        <v>4</v>
      </c>
      <c r="C14" s="3">
        <v>35.130000000000003</v>
      </c>
      <c r="D14" s="4"/>
      <c r="E14" s="3" t="s">
        <v>26</v>
      </c>
    </row>
    <row r="15" spans="1:5" ht="15" thickBot="1">
      <c r="A15" s="1">
        <v>45250</v>
      </c>
      <c r="B15" s="2" t="s">
        <v>5</v>
      </c>
      <c r="C15" s="3">
        <v>19.39</v>
      </c>
      <c r="D15" s="4"/>
      <c r="E15" s="3" t="s">
        <v>26</v>
      </c>
    </row>
    <row r="16" spans="1:5" ht="15" thickBot="1">
      <c r="A16" s="1">
        <v>45245</v>
      </c>
      <c r="B16" s="2" t="s">
        <v>5</v>
      </c>
      <c r="C16" s="3">
        <v>58.46</v>
      </c>
      <c r="D16" s="4"/>
      <c r="E16" s="3" t="s">
        <v>26</v>
      </c>
    </row>
    <row r="17" spans="1:5" ht="15" thickBot="1">
      <c r="A17" s="1">
        <v>45243</v>
      </c>
      <c r="B17" s="2" t="s">
        <v>5</v>
      </c>
      <c r="C17" s="3">
        <v>54</v>
      </c>
      <c r="D17" s="4"/>
      <c r="E17" s="3" t="s">
        <v>26</v>
      </c>
    </row>
    <row r="18" spans="1:5" ht="15" thickBot="1">
      <c r="A18" s="1">
        <v>45243</v>
      </c>
      <c r="B18" s="2" t="s">
        <v>47</v>
      </c>
      <c r="C18" s="3">
        <v>4000</v>
      </c>
      <c r="D18" s="4"/>
      <c r="E18" s="3" t="s">
        <v>27</v>
      </c>
    </row>
    <row r="19" spans="1:5" ht="15" thickBot="1">
      <c r="A19" s="1">
        <v>45239</v>
      </c>
      <c r="B19" s="2" t="s">
        <v>14</v>
      </c>
      <c r="C19" s="3">
        <v>54.91</v>
      </c>
      <c r="D19" s="4"/>
      <c r="E19" s="3" t="s">
        <v>26</v>
      </c>
    </row>
    <row r="20" spans="1:5" ht="15" thickBot="1">
      <c r="A20" s="1">
        <v>45238</v>
      </c>
      <c r="B20" s="2" t="s">
        <v>5</v>
      </c>
      <c r="C20" s="3">
        <v>69.72</v>
      </c>
      <c r="D20" s="4"/>
      <c r="E20" s="3" t="s">
        <v>26</v>
      </c>
    </row>
    <row r="21" spans="1:5" ht="15" thickBot="1">
      <c r="A21" s="1">
        <v>45238</v>
      </c>
      <c r="B21" s="2" t="s">
        <v>5</v>
      </c>
      <c r="C21" s="3">
        <v>34.549999999999997</v>
      </c>
      <c r="D21" s="4"/>
      <c r="E21" s="3" t="s">
        <v>26</v>
      </c>
    </row>
    <row r="22" spans="1:5" ht="15" thickBot="1">
      <c r="A22" s="1">
        <v>45235</v>
      </c>
      <c r="B22" s="2" t="s">
        <v>15</v>
      </c>
      <c r="C22" s="3">
        <v>38.25</v>
      </c>
      <c r="D22" s="4"/>
      <c r="E22" s="3" t="s">
        <v>26</v>
      </c>
    </row>
    <row r="23" spans="1:5" ht="15" thickBot="1">
      <c r="A23" s="1">
        <v>45234</v>
      </c>
      <c r="B23" s="2" t="s">
        <v>48</v>
      </c>
      <c r="C23" s="3">
        <v>6.79</v>
      </c>
      <c r="D23" s="4"/>
      <c r="E23" s="3" t="s">
        <v>25</v>
      </c>
    </row>
    <row r="24" spans="1:5" ht="15" thickBot="1">
      <c r="A24" s="1">
        <v>45233</v>
      </c>
      <c r="B24" s="2" t="s">
        <v>48</v>
      </c>
      <c r="C24" s="3">
        <v>1.92</v>
      </c>
      <c r="D24" s="4"/>
      <c r="E24" s="3" t="s">
        <v>25</v>
      </c>
    </row>
    <row r="25" spans="1:5" ht="15" thickBot="1">
      <c r="A25" s="1">
        <v>45233</v>
      </c>
      <c r="B25" s="2" t="s">
        <v>47</v>
      </c>
      <c r="C25" s="3">
        <v>1500</v>
      </c>
      <c r="D25" s="4"/>
      <c r="E25" s="3" t="s">
        <v>27</v>
      </c>
    </row>
    <row r="26" spans="1:5" ht="15" thickBot="1">
      <c r="A26" s="1">
        <v>45233</v>
      </c>
      <c r="B26" s="2" t="s">
        <v>16</v>
      </c>
      <c r="C26" s="3">
        <v>28.91</v>
      </c>
      <c r="D26" s="4"/>
      <c r="E26" s="3" t="s">
        <v>31</v>
      </c>
    </row>
    <row r="27" spans="1:5" ht="15" thickBot="1">
      <c r="A27" s="1">
        <v>45233</v>
      </c>
      <c r="B27" s="2" t="s">
        <v>17</v>
      </c>
      <c r="C27" s="3">
        <v>16.95</v>
      </c>
      <c r="D27" s="4"/>
      <c r="E27" s="3" t="s">
        <v>35</v>
      </c>
    </row>
    <row r="28" spans="1:5" ht="15" thickBot="1">
      <c r="A28" s="1">
        <v>45233</v>
      </c>
      <c r="B28" s="2" t="s">
        <v>18</v>
      </c>
      <c r="C28" s="3">
        <v>1.5</v>
      </c>
      <c r="D28" s="4"/>
      <c r="E28" s="3" t="s">
        <v>31</v>
      </c>
    </row>
    <row r="29" spans="1:5" ht="15" thickBot="1">
      <c r="A29" s="1">
        <v>45232</v>
      </c>
      <c r="B29" s="2" t="s">
        <v>19</v>
      </c>
      <c r="C29" s="3">
        <v>8.9600000000000009</v>
      </c>
      <c r="D29" s="4"/>
      <c r="E29" s="3" t="s">
        <v>31</v>
      </c>
    </row>
    <row r="30" spans="1:5" ht="15" thickBot="1">
      <c r="A30" s="1">
        <v>45232</v>
      </c>
      <c r="B30" s="2" t="s">
        <v>18</v>
      </c>
      <c r="C30" s="3">
        <v>1.5</v>
      </c>
      <c r="D30" s="4"/>
      <c r="E30" s="3" t="s">
        <v>31</v>
      </c>
    </row>
    <row r="31" spans="1:5" ht="15" thickBot="1">
      <c r="A31" s="1">
        <v>45232</v>
      </c>
      <c r="B31" s="2" t="s">
        <v>16</v>
      </c>
      <c r="C31" s="3">
        <v>26.86</v>
      </c>
      <c r="D31" s="4"/>
      <c r="E31" s="3" t="s">
        <v>31</v>
      </c>
    </row>
    <row r="32" spans="1:5" ht="15" thickBot="1">
      <c r="A32" s="1">
        <v>45231</v>
      </c>
      <c r="B32" s="2" t="s">
        <v>48</v>
      </c>
      <c r="C32" s="3">
        <v>6.83</v>
      </c>
      <c r="D32" s="4"/>
      <c r="E32" s="3" t="s">
        <v>25</v>
      </c>
    </row>
    <row r="33" spans="1:5" ht="15" thickBot="1">
      <c r="A33" s="1">
        <v>45231</v>
      </c>
      <c r="B33" s="2" t="s">
        <v>48</v>
      </c>
      <c r="C33" s="3">
        <v>1.92</v>
      </c>
      <c r="D33" s="4"/>
      <c r="E33" s="3" t="s">
        <v>25</v>
      </c>
    </row>
    <row r="34" spans="1:5" ht="15" thickBot="1">
      <c r="A34" s="1">
        <v>45231</v>
      </c>
      <c r="B34" s="2" t="s">
        <v>17</v>
      </c>
      <c r="C34" s="3">
        <v>16.95</v>
      </c>
      <c r="D34" s="4"/>
      <c r="E34" s="3" t="s">
        <v>35</v>
      </c>
    </row>
    <row r="35" spans="1:5" ht="15" thickBot="1">
      <c r="A35" s="1">
        <v>45231</v>
      </c>
      <c r="B35" s="2" t="s">
        <v>17</v>
      </c>
      <c r="C35" s="3">
        <v>16.95</v>
      </c>
      <c r="D35" s="4"/>
      <c r="E35" s="3" t="s">
        <v>35</v>
      </c>
    </row>
    <row r="36" spans="1:5" ht="15" thickBot="1">
      <c r="A36" s="1">
        <v>45230</v>
      </c>
      <c r="B36" s="2" t="s">
        <v>48</v>
      </c>
      <c r="C36" s="3">
        <v>1.92</v>
      </c>
      <c r="D36" s="4"/>
      <c r="E36" s="3" t="s">
        <v>25</v>
      </c>
    </row>
    <row r="37" spans="1:5" ht="15" thickBot="1">
      <c r="A37" s="1">
        <v>45230</v>
      </c>
      <c r="B37" s="2" t="s">
        <v>17</v>
      </c>
      <c r="C37" s="3">
        <v>16.95</v>
      </c>
      <c r="D37" s="4"/>
      <c r="E37" s="3" t="s">
        <v>35</v>
      </c>
    </row>
    <row r="38" spans="1:5" ht="15" thickBot="1">
      <c r="A38" s="1">
        <v>45228</v>
      </c>
      <c r="B38" s="2" t="s">
        <v>21</v>
      </c>
      <c r="C38" s="3">
        <v>21.65</v>
      </c>
      <c r="D38" s="4"/>
      <c r="E38" s="3" t="s">
        <v>29</v>
      </c>
    </row>
    <row r="39" spans="1:5" ht="15" thickBot="1">
      <c r="A39" s="11">
        <v>45228</v>
      </c>
      <c r="B39" s="5" t="s">
        <v>20</v>
      </c>
      <c r="C39" s="9">
        <v>7.09</v>
      </c>
      <c r="D39" s="10"/>
      <c r="E39" s="3" t="s">
        <v>29</v>
      </c>
    </row>
    <row r="40" spans="1:5" ht="15" thickBot="1">
      <c r="A40" s="1">
        <v>45182</v>
      </c>
      <c r="B40" s="2" t="s">
        <v>22</v>
      </c>
      <c r="C40" s="3">
        <v>46.01</v>
      </c>
      <c r="D40" s="4"/>
      <c r="E40" s="3" t="s">
        <v>33</v>
      </c>
    </row>
    <row r="41" spans="1:5" ht="15" thickBot="1">
      <c r="A41" s="1">
        <v>45181</v>
      </c>
      <c r="B41" s="2" t="s">
        <v>48</v>
      </c>
      <c r="C41" s="3">
        <v>1.92</v>
      </c>
      <c r="D41" s="4"/>
      <c r="E41" s="3" t="s">
        <v>25</v>
      </c>
    </row>
    <row r="42" spans="1:5" ht="15" thickBot="1">
      <c r="A42" s="1">
        <v>45181</v>
      </c>
      <c r="B42" s="2" t="s">
        <v>48</v>
      </c>
      <c r="C42" s="3">
        <v>4.58</v>
      </c>
      <c r="D42" s="4"/>
      <c r="E42" s="3" t="s">
        <v>25</v>
      </c>
    </row>
    <row r="43" spans="1:5" ht="15" thickBot="1">
      <c r="A43" s="1">
        <v>45181</v>
      </c>
      <c r="B43" s="2" t="s">
        <v>23</v>
      </c>
      <c r="C43" s="3">
        <v>10.74</v>
      </c>
      <c r="D43" s="4"/>
      <c r="E43" s="3" t="s">
        <v>32</v>
      </c>
    </row>
    <row r="44" spans="1:5" ht="15" thickBot="1">
      <c r="A44" s="1">
        <v>45180</v>
      </c>
      <c r="B44" s="2" t="s">
        <v>48</v>
      </c>
      <c r="C44" s="3">
        <v>1.92</v>
      </c>
      <c r="D44" s="4"/>
      <c r="E44" s="3" t="s">
        <v>25</v>
      </c>
    </row>
    <row r="45" spans="1:5" ht="15" thickBot="1">
      <c r="A45" s="1">
        <v>45180</v>
      </c>
      <c r="B45" s="2" t="s">
        <v>49</v>
      </c>
      <c r="C45" s="3">
        <v>10.28</v>
      </c>
      <c r="D45" s="4"/>
      <c r="E45" s="3" t="s">
        <v>26</v>
      </c>
    </row>
    <row r="46" spans="1:5" ht="15" thickBot="1">
      <c r="A46" s="1">
        <v>45180</v>
      </c>
      <c r="B46" s="2" t="s">
        <v>23</v>
      </c>
      <c r="C46" s="3">
        <v>13</v>
      </c>
      <c r="D46" s="4"/>
      <c r="E46" s="3" t="s">
        <v>32</v>
      </c>
    </row>
    <row r="47" spans="1:5">
      <c r="C47" s="12">
        <f>SUM(C2:C46)</f>
        <v>9742.2100000000028</v>
      </c>
    </row>
  </sheetData>
  <autoFilter ref="A1:E47" xr:uid="{00000000-0001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FD640-44CE-4329-A78F-8EAF59D93394}">
  <sheetPr codeName="Sheet19"/>
  <dimension ref="A1:G16"/>
  <sheetViews>
    <sheetView tabSelected="1" workbookViewId="0">
      <selection activeCell="G19" sqref="G19"/>
    </sheetView>
  </sheetViews>
  <sheetFormatPr defaultRowHeight="14.5"/>
  <cols>
    <col min="1" max="1" width="17.54296875" bestFit="1" customWidth="1"/>
    <col min="2" max="2" width="15.26953125" bestFit="1" customWidth="1"/>
    <col min="3" max="3" width="5.81640625" bestFit="1" customWidth="1"/>
    <col min="4" max="5" width="7.81640625" bestFit="1" customWidth="1"/>
    <col min="6" max="6" width="9.54296875" bestFit="1" customWidth="1"/>
    <col min="7" max="7" width="10.7265625" bestFit="1" customWidth="1"/>
    <col min="8" max="20" width="9.36328125" bestFit="1" customWidth="1"/>
    <col min="21" max="26" width="9.1796875" bestFit="1" customWidth="1"/>
    <col min="27" max="27" width="10.7265625" bestFit="1" customWidth="1"/>
  </cols>
  <sheetData>
    <row r="1" spans="1:7">
      <c r="A1" s="13" t="s">
        <v>39</v>
      </c>
      <c r="B1" s="13" t="s">
        <v>38</v>
      </c>
    </row>
    <row r="2" spans="1:7">
      <c r="B2" t="s">
        <v>40</v>
      </c>
      <c r="F2" t="s">
        <v>41</v>
      </c>
      <c r="G2" t="s">
        <v>37</v>
      </c>
    </row>
    <row r="3" spans="1:7">
      <c r="A3" s="13" t="s">
        <v>36</v>
      </c>
      <c r="B3" t="s">
        <v>42</v>
      </c>
      <c r="C3" t="s">
        <v>43</v>
      </c>
      <c r="D3" t="s">
        <v>44</v>
      </c>
      <c r="E3" t="s">
        <v>45</v>
      </c>
    </row>
    <row r="4" spans="1:7">
      <c r="A4" s="14" t="s">
        <v>27</v>
      </c>
      <c r="B4" s="15"/>
      <c r="C4" s="15"/>
      <c r="D4" s="15">
        <v>5500</v>
      </c>
      <c r="E4" s="15">
        <v>2000</v>
      </c>
      <c r="F4" s="15">
        <v>7500</v>
      </c>
      <c r="G4" s="15">
        <v>7500</v>
      </c>
    </row>
    <row r="5" spans="1:7">
      <c r="A5" s="14" t="s">
        <v>46</v>
      </c>
      <c r="B5" s="15"/>
      <c r="C5" s="15"/>
      <c r="D5" s="15">
        <v>1472.83</v>
      </c>
      <c r="E5" s="15"/>
      <c r="F5" s="15">
        <v>1472.83</v>
      </c>
      <c r="G5" s="15">
        <v>1472.83</v>
      </c>
    </row>
    <row r="6" spans="1:7">
      <c r="A6" s="14" t="s">
        <v>26</v>
      </c>
      <c r="B6" s="15">
        <v>10.28</v>
      </c>
      <c r="C6" s="15"/>
      <c r="D6" s="15">
        <v>364.41</v>
      </c>
      <c r="E6" s="15">
        <v>18.21</v>
      </c>
      <c r="F6" s="15">
        <v>392.9</v>
      </c>
      <c r="G6" s="15">
        <v>392.9</v>
      </c>
    </row>
    <row r="7" spans="1:7">
      <c r="A7" s="14" t="s">
        <v>31</v>
      </c>
      <c r="B7" s="15"/>
      <c r="C7" s="15"/>
      <c r="D7" s="15">
        <v>101.52999999999999</v>
      </c>
      <c r="E7" s="15">
        <v>11.29</v>
      </c>
      <c r="F7" s="15">
        <v>112.82</v>
      </c>
      <c r="G7" s="15">
        <v>112.82</v>
      </c>
    </row>
    <row r="8" spans="1:7">
      <c r="A8" s="14" t="s">
        <v>35</v>
      </c>
      <c r="B8" s="15"/>
      <c r="C8" s="15">
        <v>16.95</v>
      </c>
      <c r="D8" s="15">
        <v>50.849999999999994</v>
      </c>
      <c r="E8" s="15"/>
      <c r="F8" s="15">
        <v>67.8</v>
      </c>
      <c r="G8" s="15">
        <v>67.8</v>
      </c>
    </row>
    <row r="9" spans="1:7">
      <c r="A9" s="14" t="s">
        <v>29</v>
      </c>
      <c r="B9" s="15"/>
      <c r="C9" s="15">
        <v>28.74</v>
      </c>
      <c r="D9" s="15"/>
      <c r="E9" s="15">
        <v>24.77</v>
      </c>
      <c r="F9" s="15">
        <v>53.51</v>
      </c>
      <c r="G9" s="15">
        <v>53.51</v>
      </c>
    </row>
    <row r="10" spans="1:7">
      <c r="A10" s="14" t="s">
        <v>33</v>
      </c>
      <c r="B10" s="15">
        <v>46.01</v>
      </c>
      <c r="C10" s="15"/>
      <c r="D10" s="15"/>
      <c r="E10" s="15"/>
      <c r="F10" s="15">
        <v>46.01</v>
      </c>
      <c r="G10" s="15">
        <v>46.01</v>
      </c>
    </row>
    <row r="11" spans="1:7">
      <c r="A11" s="14" t="s">
        <v>25</v>
      </c>
      <c r="B11" s="15">
        <v>8.42</v>
      </c>
      <c r="C11" s="15">
        <v>1.92</v>
      </c>
      <c r="D11" s="15">
        <v>17.46</v>
      </c>
      <c r="E11" s="15">
        <v>4.34</v>
      </c>
      <c r="F11" s="15">
        <v>32.14</v>
      </c>
      <c r="G11" s="15">
        <v>32.14</v>
      </c>
    </row>
    <row r="12" spans="1:7">
      <c r="A12" s="14" t="s">
        <v>30</v>
      </c>
      <c r="B12" s="15"/>
      <c r="C12" s="15"/>
      <c r="D12" s="15">
        <v>29</v>
      </c>
      <c r="E12" s="15"/>
      <c r="F12" s="15">
        <v>29</v>
      </c>
      <c r="G12" s="15">
        <v>29</v>
      </c>
    </row>
    <row r="13" spans="1:7">
      <c r="A13" s="14" t="s">
        <v>32</v>
      </c>
      <c r="B13" s="15">
        <v>23.740000000000002</v>
      </c>
      <c r="C13" s="15"/>
      <c r="D13" s="15"/>
      <c r="E13" s="15"/>
      <c r="F13" s="15">
        <v>23.740000000000002</v>
      </c>
      <c r="G13" s="15">
        <v>23.740000000000002</v>
      </c>
    </row>
    <row r="14" spans="1:7">
      <c r="A14" s="14" t="s">
        <v>34</v>
      </c>
      <c r="B14" s="15"/>
      <c r="C14" s="15"/>
      <c r="D14" s="15">
        <v>10</v>
      </c>
      <c r="E14" s="15"/>
      <c r="F14" s="15">
        <v>10</v>
      </c>
      <c r="G14" s="15">
        <v>10</v>
      </c>
    </row>
    <row r="15" spans="1:7">
      <c r="A15" s="14" t="s">
        <v>28</v>
      </c>
      <c r="B15" s="15"/>
      <c r="C15" s="15"/>
      <c r="D15" s="15"/>
      <c r="E15" s="15">
        <v>1.46</v>
      </c>
      <c r="F15" s="15">
        <v>1.46</v>
      </c>
      <c r="G15" s="15">
        <v>1.46</v>
      </c>
    </row>
    <row r="16" spans="1:7">
      <c r="A16" s="14" t="s">
        <v>37</v>
      </c>
      <c r="B16" s="15">
        <v>88.449999999999989</v>
      </c>
      <c r="C16" s="15">
        <v>47.61</v>
      </c>
      <c r="D16" s="15">
        <v>7546.08</v>
      </c>
      <c r="E16" s="15">
        <v>2060.0700000000002</v>
      </c>
      <c r="F16" s="15">
        <v>9742.2099999999991</v>
      </c>
      <c r="G16" s="15">
        <v>9742.2099999999991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Mitra</dc:creator>
  <cp:lastModifiedBy>Mitra from Nanovise</cp:lastModifiedBy>
  <dcterms:created xsi:type="dcterms:W3CDTF">2015-06-05T18:17:20Z</dcterms:created>
  <dcterms:modified xsi:type="dcterms:W3CDTF">2023-12-31T20:33:28Z</dcterms:modified>
</cp:coreProperties>
</file>